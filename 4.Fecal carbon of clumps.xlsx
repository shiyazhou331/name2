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2"/>
  <workbookPr/>
  <mc:AlternateContent xmlns:mc="http://schemas.openxmlformats.org/markup-compatibility/2006">
    <mc:Choice Requires="x15">
      <x15ac:absPath xmlns:x15ac="http://schemas.microsoft.com/office/spreadsheetml/2010/11/ac" url="D:\d盘\博士-毕业相关论文（撰写中）\小论文-牡蛎礁碳收支\数据\github原始数据\"/>
    </mc:Choice>
  </mc:AlternateContent>
  <xr:revisionPtr revIDLastSave="0" documentId="13_ncr:1_{B26D74CE-D931-4DFF-A661-D6010E3906A7}" xr6:coauthVersionLast="47" xr6:coauthVersionMax="47" xr10:uidLastSave="{00000000-0000-0000-0000-000000000000}"/>
  <bookViews>
    <workbookView xWindow="-98" yWindow="-98" windowWidth="23236" windowHeight="13875" activeTab="2" xr2:uid="{00000000-000D-0000-FFFF-FFFF00000000}"/>
  </bookViews>
  <sheets>
    <sheet name="Fecal carbon of clumps" sheetId="3" r:id="rId1"/>
    <sheet name="Individual oyster fecal carbon" sheetId="1" r:id="rId2"/>
    <sheet name="Carbon content in fec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3" l="1"/>
  <c r="D7" i="3" s="1"/>
  <c r="C6" i="3"/>
  <c r="D6" i="3" s="1"/>
  <c r="C5" i="3"/>
  <c r="D5" i="3" s="1"/>
  <c r="C4" i="3"/>
  <c r="D4" i="3" s="1"/>
  <c r="C3" i="3"/>
  <c r="D3" i="3" s="1"/>
  <c r="C2" i="3"/>
  <c r="D2" i="3" s="1"/>
  <c r="B11" i="2"/>
  <c r="B10" i="1"/>
  <c r="C3" i="1"/>
  <c r="D3" i="1" s="1"/>
  <c r="E3" i="1" s="1"/>
  <c r="C4" i="1"/>
  <c r="D4" i="1" s="1"/>
  <c r="E4" i="1" s="1"/>
  <c r="C5" i="1"/>
  <c r="D5" i="1" s="1"/>
  <c r="E5" i="1" s="1"/>
  <c r="C6" i="1"/>
  <c r="D6" i="1" s="1"/>
  <c r="E6" i="1" s="1"/>
  <c r="C7" i="1"/>
  <c r="D7" i="1" s="1"/>
  <c r="E7" i="1" s="1"/>
  <c r="C8" i="1"/>
  <c r="D8" i="1" s="1"/>
  <c r="E8" i="1" s="1"/>
  <c r="C9" i="1"/>
  <c r="D9" i="1" s="1"/>
  <c r="E9" i="1" s="1"/>
  <c r="C2" i="1"/>
  <c r="D2" i="1" s="1"/>
  <c r="D10" i="1" l="1"/>
  <c r="D8" i="3"/>
  <c r="E2" i="1"/>
  <c r="E10" i="1" s="1"/>
  <c r="C10" i="1"/>
</calcChain>
</file>

<file path=xl/sharedStrings.xml><?xml version="1.0" encoding="utf-8"?>
<sst xmlns="http://schemas.openxmlformats.org/spreadsheetml/2006/main" count="18" uniqueCount="15">
  <si>
    <r>
      <t>POM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g/L</t>
    </r>
    <r>
      <rPr>
        <sz val="11"/>
        <color theme="1"/>
        <rFont val="宋体"/>
        <family val="3"/>
        <charset val="134"/>
      </rPr>
      <t>）：</t>
    </r>
    <r>
      <rPr>
        <sz val="11"/>
        <color theme="1"/>
        <rFont val="Times New Roman"/>
        <family val="1"/>
      </rPr>
      <t>0.0055</t>
    </r>
    <phoneticPr fontId="1" type="noConversion"/>
  </si>
  <si>
    <r>
      <t>POC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mg/L</t>
    </r>
    <r>
      <rPr>
        <sz val="11"/>
        <color theme="1"/>
        <rFont val="宋体"/>
        <family val="3"/>
        <charset val="134"/>
      </rPr>
      <t>）：</t>
    </r>
    <r>
      <rPr>
        <sz val="11"/>
        <color theme="1"/>
        <rFont val="Times New Roman"/>
        <family val="1"/>
      </rPr>
      <t>0.3186</t>
    </r>
    <phoneticPr fontId="1" type="noConversion"/>
  </si>
  <si>
    <t>Carbon content in feces/%</t>
    <phoneticPr fontId="1" type="noConversion"/>
  </si>
  <si>
    <r>
      <rPr>
        <sz val="11"/>
        <color theme="1"/>
        <rFont val="Times New Roman"/>
        <family val="3"/>
      </rPr>
      <t>Assimilation efficiency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0.24</t>
    </r>
    <phoneticPr fontId="1" type="noConversion"/>
  </si>
  <si>
    <r>
      <rPr>
        <sz val="11"/>
        <color theme="1"/>
        <rFont val="Times New Roman"/>
        <family val="3"/>
      </rPr>
      <t>Filtration rate (</t>
    </r>
    <r>
      <rPr>
        <sz val="11"/>
        <color theme="1"/>
        <rFont val="Times New Roman"/>
        <family val="1"/>
      </rPr>
      <t>L·h-1·ind-1)</t>
    </r>
    <phoneticPr fontId="1" type="noConversion"/>
  </si>
  <si>
    <r>
      <t>Individual oyster fecal carbon (</t>
    </r>
    <r>
      <rPr>
        <sz val="11"/>
        <color theme="1"/>
        <rFont val="Times New Roman"/>
        <family val="1"/>
      </rPr>
      <t>gC·y-1·ind-1)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2.88</t>
    </r>
    <phoneticPr fontId="1" type="noConversion"/>
  </si>
  <si>
    <t>Mean</t>
    <phoneticPr fontId="1" type="noConversion"/>
  </si>
  <si>
    <r>
      <t>Ingested carbon (</t>
    </r>
    <r>
      <rPr>
        <sz val="11"/>
        <color theme="1"/>
        <rFont val="Times New Roman"/>
        <family val="1"/>
      </rPr>
      <t>mgC·h-1·ind-1)</t>
    </r>
    <phoneticPr fontId="1" type="noConversion"/>
  </si>
  <si>
    <r>
      <t>Fecal carbon (</t>
    </r>
    <r>
      <rPr>
        <sz val="11"/>
        <color theme="1"/>
        <rFont val="Times New Roman"/>
        <family val="1"/>
      </rPr>
      <t>mgC·h-1·ind-1)</t>
    </r>
    <phoneticPr fontId="1" type="noConversion"/>
  </si>
  <si>
    <r>
      <t>Fecal carbon (</t>
    </r>
    <r>
      <rPr>
        <sz val="11"/>
        <color theme="1"/>
        <rFont val="Times New Roman"/>
        <family val="1"/>
      </rPr>
      <t>gC·y-1·ind-1)</t>
    </r>
    <phoneticPr fontId="1" type="noConversion"/>
  </si>
  <si>
    <t>Clumps</t>
    <phoneticPr fontId="1" type="noConversion"/>
  </si>
  <si>
    <t>Number of oysters (SH≥20mm)</t>
    <phoneticPr fontId="1" type="noConversion"/>
  </si>
  <si>
    <t>Oyster density (ind/m2)</t>
    <phoneticPr fontId="1" type="noConversion"/>
  </si>
  <si>
    <t>Fecal carbon per unit area (gC·m-2·y-1)</t>
    <phoneticPr fontId="1" type="noConversion"/>
  </si>
  <si>
    <t>Oyster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</si>
</sst>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_ "/>
    <numFmt numFmtId="177" formatCode="0.00_ "/>
    <numFmt numFmtId="178" formatCode="0_ 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宋体"/>
      <family val="3"/>
      <charset val="134"/>
    </font>
    <font>
      <sz val="11"/>
      <color theme="1"/>
      <name val="Times New Roman"/>
      <family val="3"/>
      <charset val="134"/>
    </font>
    <font>
      <sz val="11"/>
      <color theme="1"/>
      <name val="Times New Roman"/>
      <family val="3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176" fontId="3" fillId="0" borderId="0" xfId="0" applyNumberFormat="1" applyFont="1" applyAlignment="1">
      <alignment horizontal="center"/>
    </xf>
    <xf numFmtId="176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8" fontId="3" fillId="0" borderId="0" xfId="0" applyNumberFormat="1" applyFont="1" applyAlignment="1">
      <alignment horizontal="center"/>
    </xf>
    <xf numFmtId="177" fontId="3" fillId="0" borderId="3" xfId="0" applyNumberFormat="1" applyFont="1" applyBorder="1" applyAlignment="1">
      <alignment horizontal="center"/>
    </xf>
    <xf numFmtId="177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8" fontId="3" fillId="0" borderId="4" xfId="0" applyNumberFormat="1" applyFont="1" applyBorder="1" applyAlignment="1">
      <alignment horizontal="center"/>
    </xf>
    <xf numFmtId="177" fontId="4" fillId="0" borderId="5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534D7-F0E6-4A1C-8DEF-BBF25E841C85}">
  <dimension ref="A1:D10"/>
  <sheetViews>
    <sheetView zoomScale="175" zoomScaleNormal="175" workbookViewId="0">
      <selection activeCell="A13" sqref="A13"/>
    </sheetView>
  </sheetViews>
  <sheetFormatPr defaultColWidth="9" defaultRowHeight="13.9" x14ac:dyDescent="0.4"/>
  <cols>
    <col min="1" max="1" width="7" style="5" customWidth="1"/>
    <col min="2" max="2" width="13.33203125" style="5" customWidth="1"/>
    <col min="3" max="3" width="13.1328125" style="1" customWidth="1"/>
    <col min="4" max="4" width="22.73046875" style="1" customWidth="1"/>
    <col min="5" max="16384" width="9" style="2"/>
  </cols>
  <sheetData>
    <row r="1" spans="1:4" s="8" customFormat="1" ht="39.4" customHeight="1" x14ac:dyDescent="0.4">
      <c r="A1" s="22" t="s">
        <v>10</v>
      </c>
      <c r="B1" s="23" t="s">
        <v>11</v>
      </c>
      <c r="C1" s="24" t="s">
        <v>12</v>
      </c>
      <c r="D1" s="25" t="s">
        <v>13</v>
      </c>
    </row>
    <row r="2" spans="1:4" x14ac:dyDescent="0.4">
      <c r="A2" s="9">
        <v>1</v>
      </c>
      <c r="B2" s="5">
        <v>21</v>
      </c>
      <c r="C2" s="11">
        <f>B2/0.1617</f>
        <v>129.87012987012986</v>
      </c>
      <c r="D2" s="12">
        <f>C2*2.88</f>
        <v>374.02597402597399</v>
      </c>
    </row>
    <row r="3" spans="1:4" x14ac:dyDescent="0.4">
      <c r="A3" s="9">
        <v>2</v>
      </c>
      <c r="B3" s="5">
        <v>9</v>
      </c>
      <c r="C3" s="11">
        <f>B3/0.1802</f>
        <v>49.944506104328525</v>
      </c>
      <c r="D3" s="13">
        <f t="shared" ref="D3:D7" si="0">C3*2.88</f>
        <v>143.84017758046613</v>
      </c>
    </row>
    <row r="4" spans="1:4" x14ac:dyDescent="0.4">
      <c r="A4" s="9">
        <v>3</v>
      </c>
      <c r="B4" s="5">
        <v>16</v>
      </c>
      <c r="C4" s="11">
        <f>B4/0.1736</f>
        <v>92.165898617511516</v>
      </c>
      <c r="D4" s="12">
        <f t="shared" si="0"/>
        <v>265.43778801843314</v>
      </c>
    </row>
    <row r="5" spans="1:4" x14ac:dyDescent="0.4">
      <c r="A5" s="9">
        <v>4</v>
      </c>
      <c r="B5" s="5">
        <v>16</v>
      </c>
      <c r="C5" s="11">
        <f>B5/0.1932</f>
        <v>82.815734989648035</v>
      </c>
      <c r="D5" s="12">
        <f t="shared" si="0"/>
        <v>238.50931677018633</v>
      </c>
    </row>
    <row r="6" spans="1:4" x14ac:dyDescent="0.4">
      <c r="A6" s="9">
        <v>5</v>
      </c>
      <c r="B6" s="5">
        <v>32</v>
      </c>
      <c r="C6" s="11">
        <f>B6/0.3411</f>
        <v>93.814130753444729</v>
      </c>
      <c r="D6" s="12">
        <f t="shared" si="0"/>
        <v>270.18469656992079</v>
      </c>
    </row>
    <row r="7" spans="1:4" ht="14.25" thickBot="1" x14ac:dyDescent="0.45">
      <c r="A7" s="14">
        <v>6</v>
      </c>
      <c r="B7" s="15">
        <v>31</v>
      </c>
      <c r="C7" s="16">
        <f>B7/0.2208</f>
        <v>140.39855072463769</v>
      </c>
      <c r="D7" s="17">
        <f t="shared" si="0"/>
        <v>404.3478260869565</v>
      </c>
    </row>
    <row r="8" spans="1:4" x14ac:dyDescent="0.4">
      <c r="A8" s="5" t="s">
        <v>6</v>
      </c>
      <c r="D8" s="7">
        <f>AVERAGE(D2:D7)</f>
        <v>282.72429650865615</v>
      </c>
    </row>
    <row r="10" spans="1:4" x14ac:dyDescent="0.4">
      <c r="A10" s="2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zoomScale="130" zoomScaleNormal="130" workbookViewId="0">
      <selection activeCell="B15" sqref="B15"/>
    </sheetView>
  </sheetViews>
  <sheetFormatPr defaultColWidth="9" defaultRowHeight="13.9" x14ac:dyDescent="0.4"/>
  <cols>
    <col min="1" max="1" width="8" style="5" customWidth="1"/>
    <col min="2" max="2" width="22.46484375" style="1" customWidth="1"/>
    <col min="3" max="3" width="27.265625" style="1" customWidth="1"/>
    <col min="4" max="4" width="24.1328125" style="1" customWidth="1"/>
    <col min="5" max="5" width="23.9296875" style="1" customWidth="1"/>
    <col min="6" max="6" width="24.59765625" style="2" customWidth="1"/>
    <col min="7" max="16384" width="9" style="2"/>
  </cols>
  <sheetData>
    <row r="1" spans="1:6" ht="14.25" x14ac:dyDescent="0.4">
      <c r="A1" s="1" t="s">
        <v>14</v>
      </c>
      <c r="B1" s="20" t="s">
        <v>4</v>
      </c>
      <c r="C1" s="20" t="s">
        <v>7</v>
      </c>
      <c r="D1" s="20" t="s">
        <v>8</v>
      </c>
      <c r="E1" s="20" t="s">
        <v>9</v>
      </c>
      <c r="F1" s="1" t="s">
        <v>0</v>
      </c>
    </row>
    <row r="2" spans="1:6" ht="14.25" x14ac:dyDescent="0.4">
      <c r="A2" s="9">
        <v>1</v>
      </c>
      <c r="B2" s="7">
        <v>1.38</v>
      </c>
      <c r="C2" s="3">
        <f>B2*0.3186</f>
        <v>0.43966799999999995</v>
      </c>
      <c r="D2" s="3">
        <f>C2*(1-0.24)</f>
        <v>0.33414767999999995</v>
      </c>
      <c r="E2" s="3">
        <f>D2*24*365/1000</f>
        <v>2.9271336767999991</v>
      </c>
      <c r="F2" s="1" t="s">
        <v>1</v>
      </c>
    </row>
    <row r="3" spans="1:6" ht="14.25" x14ac:dyDescent="0.4">
      <c r="A3" s="9">
        <v>2</v>
      </c>
      <c r="B3" s="7">
        <v>1.3</v>
      </c>
      <c r="C3" s="3">
        <f t="shared" ref="C3:C9" si="0">B3*0.3186</f>
        <v>0.41417999999999999</v>
      </c>
      <c r="D3" s="3">
        <f t="shared" ref="D3:D9" si="1">C3*(1-0.24)</f>
        <v>0.31477680000000002</v>
      </c>
      <c r="E3" s="3">
        <f t="shared" ref="E3:E9" si="2">D3*24*365/1000</f>
        <v>2.7574447680000005</v>
      </c>
      <c r="F3" s="20" t="s">
        <v>3</v>
      </c>
    </row>
    <row r="4" spans="1:6" x14ac:dyDescent="0.4">
      <c r="A4" s="9">
        <v>3</v>
      </c>
      <c r="B4" s="7">
        <v>0.85</v>
      </c>
      <c r="C4" s="3">
        <f t="shared" si="0"/>
        <v>0.27081</v>
      </c>
      <c r="D4" s="3">
        <f t="shared" si="1"/>
        <v>0.20581559999999999</v>
      </c>
      <c r="E4" s="3">
        <f t="shared" si="2"/>
        <v>1.802944656</v>
      </c>
    </row>
    <row r="5" spans="1:6" x14ac:dyDescent="0.4">
      <c r="A5" s="9">
        <v>4</v>
      </c>
      <c r="B5" s="7">
        <v>0.74</v>
      </c>
      <c r="C5" s="3">
        <f t="shared" si="0"/>
        <v>0.235764</v>
      </c>
      <c r="D5" s="3">
        <f t="shared" si="1"/>
        <v>0.17918064</v>
      </c>
      <c r="E5" s="3">
        <f t="shared" si="2"/>
        <v>1.5696224063999999</v>
      </c>
    </row>
    <row r="6" spans="1:6" x14ac:dyDescent="0.4">
      <c r="A6" s="9">
        <v>5</v>
      </c>
      <c r="B6" s="7">
        <v>1.83</v>
      </c>
      <c r="C6" s="3">
        <f t="shared" si="0"/>
        <v>0.58303800000000006</v>
      </c>
      <c r="D6" s="3">
        <f t="shared" si="1"/>
        <v>0.44310888000000004</v>
      </c>
      <c r="E6" s="3">
        <f t="shared" si="2"/>
        <v>3.8816337888000003</v>
      </c>
    </row>
    <row r="7" spans="1:6" x14ac:dyDescent="0.4">
      <c r="A7" s="9">
        <v>6</v>
      </c>
      <c r="B7" s="7">
        <v>1.1399999999999999</v>
      </c>
      <c r="C7" s="3">
        <f t="shared" si="0"/>
        <v>0.36320399999999997</v>
      </c>
      <c r="D7" s="3">
        <f t="shared" si="1"/>
        <v>0.27603503999999995</v>
      </c>
      <c r="E7" s="3">
        <f t="shared" si="2"/>
        <v>2.4180669503999992</v>
      </c>
    </row>
    <row r="8" spans="1:6" x14ac:dyDescent="0.4">
      <c r="A8" s="9">
        <v>7</v>
      </c>
      <c r="B8" s="7">
        <v>1.08</v>
      </c>
      <c r="C8" s="3">
        <f t="shared" si="0"/>
        <v>0.344088</v>
      </c>
      <c r="D8" s="3">
        <f t="shared" si="1"/>
        <v>0.26150688</v>
      </c>
      <c r="E8" s="3">
        <f t="shared" si="2"/>
        <v>2.2908002688</v>
      </c>
    </row>
    <row r="9" spans="1:6" x14ac:dyDescent="0.4">
      <c r="A9" s="9">
        <v>8</v>
      </c>
      <c r="B9" s="7">
        <v>2.5499999999999998</v>
      </c>
      <c r="C9" s="3">
        <f t="shared" si="0"/>
        <v>0.81242999999999987</v>
      </c>
      <c r="D9" s="3">
        <f t="shared" si="1"/>
        <v>0.61744679999999996</v>
      </c>
      <c r="E9" s="3">
        <f t="shared" si="2"/>
        <v>5.4088339679999997</v>
      </c>
    </row>
    <row r="10" spans="1:6" x14ac:dyDescent="0.4">
      <c r="A10" s="1" t="s">
        <v>6</v>
      </c>
      <c r="B10" s="3">
        <f>AVERAGE(B2:B9)</f>
        <v>1.3587500000000001</v>
      </c>
      <c r="C10" s="3">
        <f t="shared" ref="C10:D10" si="3">AVERAGE(C2:C9)</f>
        <v>0.43289775000000003</v>
      </c>
      <c r="D10" s="3">
        <f t="shared" si="3"/>
        <v>0.32900229000000003</v>
      </c>
      <c r="E10" s="4">
        <f>AVERAGE(E2:E9)</f>
        <v>2.8820600604000002</v>
      </c>
    </row>
    <row r="12" spans="1:6" x14ac:dyDescent="0.4">
      <c r="A12" s="18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A3B21-D159-4639-AE80-BEF61DB2C4A9}">
  <dimension ref="A1:D11"/>
  <sheetViews>
    <sheetView tabSelected="1" zoomScale="175" zoomScaleNormal="175" workbookViewId="0">
      <selection activeCell="B14" sqref="B14"/>
    </sheetView>
  </sheetViews>
  <sheetFormatPr defaultRowHeight="13.9" x14ac:dyDescent="0.4"/>
  <cols>
    <col min="1" max="1" width="9.6640625" style="5" customWidth="1"/>
    <col min="2" max="2" width="23.86328125" style="5" customWidth="1"/>
  </cols>
  <sheetData>
    <row r="1" spans="1:4" x14ac:dyDescent="0.4">
      <c r="A1" s="19" t="s">
        <v>14</v>
      </c>
      <c r="B1" s="5" t="s">
        <v>2</v>
      </c>
      <c r="D1" s="10"/>
    </row>
    <row r="2" spans="1:4" x14ac:dyDescent="0.4">
      <c r="A2" s="5">
        <v>1</v>
      </c>
      <c r="B2" s="5">
        <v>37.28</v>
      </c>
    </row>
    <row r="3" spans="1:4" x14ac:dyDescent="0.4">
      <c r="A3" s="5">
        <v>2</v>
      </c>
      <c r="B3" s="5">
        <v>34.35</v>
      </c>
    </row>
    <row r="4" spans="1:4" x14ac:dyDescent="0.4">
      <c r="A4" s="5">
        <v>3</v>
      </c>
      <c r="B4" s="5">
        <v>10.9</v>
      </c>
    </row>
    <row r="5" spans="1:4" x14ac:dyDescent="0.4">
      <c r="A5" s="5">
        <v>4</v>
      </c>
      <c r="B5" s="5">
        <v>9.9600000000000009</v>
      </c>
    </row>
    <row r="6" spans="1:4" x14ac:dyDescent="0.4">
      <c r="A6" s="5">
        <v>5</v>
      </c>
      <c r="B6" s="5">
        <v>18.87</v>
      </c>
    </row>
    <row r="7" spans="1:4" x14ac:dyDescent="0.4">
      <c r="A7" s="5">
        <v>6</v>
      </c>
      <c r="B7" s="5">
        <v>14.24</v>
      </c>
    </row>
    <row r="8" spans="1:4" x14ac:dyDescent="0.4">
      <c r="A8" s="5">
        <v>7</v>
      </c>
      <c r="B8" s="5">
        <v>8.83</v>
      </c>
    </row>
    <row r="9" spans="1:4" x14ac:dyDescent="0.4">
      <c r="A9" s="5">
        <v>8</v>
      </c>
      <c r="B9" s="5">
        <v>30.36</v>
      </c>
    </row>
    <row r="10" spans="1:4" x14ac:dyDescent="0.4">
      <c r="A10" s="5">
        <v>9</v>
      </c>
      <c r="B10" s="5">
        <v>20.18</v>
      </c>
    </row>
    <row r="11" spans="1:4" x14ac:dyDescent="0.4">
      <c r="A11" s="6" t="s">
        <v>6</v>
      </c>
      <c r="B11" s="6">
        <f>AVERAGE(B2:B10)</f>
        <v>20.552222222222227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Fecal carbon of clumps</vt:lpstr>
      <vt:lpstr>Individual oyster fecal carbon</vt:lpstr>
      <vt:lpstr>Carbon content in feces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ttkx syz</dc:creator>
  <cp:lastModifiedBy>ttkx syz</cp:lastModifiedBy>
  <dcterms:created xsi:type="dcterms:W3CDTF">2015-06-05T18:19:34Z</dcterms:created>
  <dcterms:modified xsi:type="dcterms:W3CDTF">2026-05-17T13:16:46Z</dcterms:modified>
</cp:coreProperties>
</file>