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2"/>
  <workbookPr/>
  <mc:AlternateContent xmlns:mc="http://schemas.openxmlformats.org/markup-compatibility/2006">
    <mc:Choice Requires="x15">
      <x15ac:absPath xmlns:x15ac="http://schemas.microsoft.com/office/spreadsheetml/2010/11/ac" url="D:\d盘\博士-毕业相关论文（撰写中）\小论文-牡蛎礁碳收支\数据\github原始数据\"/>
    </mc:Choice>
  </mc:AlternateContent>
  <xr:revisionPtr revIDLastSave="0" documentId="13_ncr:1_{8F966F91-BD3B-4335-89BB-86A5FC0DC15E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Calcification-associated carbon" sheetId="2" r:id="rId1"/>
    <sheet name="Shell carbon content(%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E3" i="2" s="1"/>
  <c r="D4" i="2"/>
  <c r="E4" i="2" s="1"/>
  <c r="D5" i="2"/>
  <c r="E5" i="2" s="1"/>
  <c r="D6" i="2"/>
  <c r="E6" i="2" s="1"/>
  <c r="D7" i="2"/>
  <c r="E7" i="2" s="1"/>
  <c r="D2" i="2"/>
  <c r="E2" i="2" s="1"/>
  <c r="E8" i="2" l="1"/>
  <c r="D8" i="2"/>
</calcChain>
</file>

<file path=xl/sharedStrings.xml><?xml version="1.0" encoding="utf-8"?>
<sst xmlns="http://schemas.openxmlformats.org/spreadsheetml/2006/main" count="10" uniqueCount="9">
  <si>
    <r>
      <t>Ren, 2014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Δ(DW of shell): 8.23 g·ind-1·y-1</t>
    </r>
    <phoneticPr fontId="1" type="noConversion"/>
  </si>
  <si>
    <t>Clumps</t>
    <phoneticPr fontId="1" type="noConversion"/>
  </si>
  <si>
    <r>
      <t>Number of oysters (SH</t>
    </r>
    <r>
      <rPr>
        <sz val="11"/>
        <color theme="1"/>
        <rFont val="等线"/>
        <family val="3"/>
        <charset val="134"/>
      </rPr>
      <t>≥</t>
    </r>
    <r>
      <rPr>
        <sz val="11"/>
        <color theme="1"/>
        <rFont val="Times New Roman"/>
        <family val="1"/>
      </rPr>
      <t>20mm)</t>
    </r>
    <phoneticPr fontId="1" type="noConversion"/>
  </si>
  <si>
    <t>Oyster density (ind/m2)</t>
    <phoneticPr fontId="1" type="noConversion"/>
  </si>
  <si>
    <t>Shell carbon storage (g C·m-2·y-1)</t>
    <phoneticPr fontId="1" type="noConversion"/>
  </si>
  <si>
    <t>Carbon release by calcification (g C·m-2·y-1)</t>
    <phoneticPr fontId="1" type="noConversion"/>
  </si>
  <si>
    <t>Mean</t>
    <phoneticPr fontId="1" type="noConversion"/>
  </si>
  <si>
    <t>Oyster</t>
    <phoneticPr fontId="1" type="noConversion"/>
  </si>
  <si>
    <t>Shell carbon content(%)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</si>
</sst>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34"/>
    </font>
    <font>
      <sz val="11"/>
      <color rgb="FFFF0000"/>
      <name val="Times New Roman"/>
      <family val="1"/>
    </font>
    <font>
      <sz val="11"/>
      <color theme="1"/>
      <name val="Times New Roman"/>
      <family val="3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/>
    </xf>
    <xf numFmtId="176" fontId="5" fillId="0" borderId="3" xfId="0" applyNumberFormat="1" applyFont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AA95-5E6A-49B8-A050-193ABD14E6C7}">
  <dimension ref="A1:E17"/>
  <sheetViews>
    <sheetView zoomScale="145" zoomScaleNormal="145" workbookViewId="0">
      <selection activeCell="D13" sqref="D13"/>
    </sheetView>
  </sheetViews>
  <sheetFormatPr defaultRowHeight="13.9" x14ac:dyDescent="0.4"/>
  <cols>
    <col min="1" max="1" width="9.06640625" style="1"/>
    <col min="2" max="2" width="14.73046875" style="1" customWidth="1"/>
    <col min="3" max="3" width="12.46484375" style="1" customWidth="1"/>
    <col min="4" max="4" width="13.73046875" style="1" customWidth="1"/>
    <col min="5" max="5" width="16.3984375" style="21" customWidth="1"/>
  </cols>
  <sheetData>
    <row r="1" spans="1:5" s="22" customFormat="1" ht="42" customHeight="1" x14ac:dyDescent="0.4">
      <c r="A1" s="17" t="s">
        <v>1</v>
      </c>
      <c r="B1" s="18" t="s">
        <v>2</v>
      </c>
      <c r="C1" s="18" t="s">
        <v>3</v>
      </c>
      <c r="D1" s="18" t="s">
        <v>4</v>
      </c>
      <c r="E1" s="16" t="s">
        <v>5</v>
      </c>
    </row>
    <row r="2" spans="1:5" x14ac:dyDescent="0.4">
      <c r="A2" s="5">
        <v>1</v>
      </c>
      <c r="B2" s="6">
        <v>21</v>
      </c>
      <c r="C2" s="19">
        <v>129.87012987012986</v>
      </c>
      <c r="D2" s="4">
        <f>C2*0.96</f>
        <v>124.67532467532466</v>
      </c>
      <c r="E2" s="10">
        <f>D2*0.634</f>
        <v>79.044155844155839</v>
      </c>
    </row>
    <row r="3" spans="1:5" x14ac:dyDescent="0.4">
      <c r="A3" s="5">
        <v>2</v>
      </c>
      <c r="B3" s="6">
        <v>9</v>
      </c>
      <c r="C3" s="19">
        <v>49.944506104328525</v>
      </c>
      <c r="D3" s="7">
        <f t="shared" ref="D3:D7" si="0">C3*0.96</f>
        <v>47.946725860155382</v>
      </c>
      <c r="E3" s="11">
        <f t="shared" ref="E3:E7" si="1">D3*0.634</f>
        <v>30.398224195338514</v>
      </c>
    </row>
    <row r="4" spans="1:5" x14ac:dyDescent="0.4">
      <c r="A4" s="5">
        <v>3</v>
      </c>
      <c r="B4" s="6">
        <v>16</v>
      </c>
      <c r="C4" s="19">
        <v>92.165898617511516</v>
      </c>
      <c r="D4" s="4">
        <f t="shared" si="0"/>
        <v>88.479262672811046</v>
      </c>
      <c r="E4" s="10">
        <f t="shared" si="1"/>
        <v>56.095852534562205</v>
      </c>
    </row>
    <row r="5" spans="1:5" x14ac:dyDescent="0.4">
      <c r="A5" s="5">
        <v>4</v>
      </c>
      <c r="B5" s="6">
        <v>16</v>
      </c>
      <c r="C5" s="19">
        <v>82.815734989648035</v>
      </c>
      <c r="D5" s="4">
        <f t="shared" si="0"/>
        <v>79.503105590062106</v>
      </c>
      <c r="E5" s="10">
        <f t="shared" si="1"/>
        <v>50.404968944099373</v>
      </c>
    </row>
    <row r="6" spans="1:5" x14ac:dyDescent="0.4">
      <c r="A6" s="5">
        <v>5</v>
      </c>
      <c r="B6" s="6">
        <v>32</v>
      </c>
      <c r="C6" s="19">
        <v>93.814130753444729</v>
      </c>
      <c r="D6" s="4">
        <f t="shared" si="0"/>
        <v>90.061565523306939</v>
      </c>
      <c r="E6" s="10">
        <f t="shared" si="1"/>
        <v>57.099032541776602</v>
      </c>
    </row>
    <row r="7" spans="1:5" ht="14.25" thickBot="1" x14ac:dyDescent="0.45">
      <c r="A7" s="8">
        <v>6</v>
      </c>
      <c r="B7" s="9">
        <v>31</v>
      </c>
      <c r="C7" s="20">
        <v>140.39855072463769</v>
      </c>
      <c r="D7" s="13">
        <f t="shared" si="0"/>
        <v>134.78260869565219</v>
      </c>
      <c r="E7" s="14">
        <f t="shared" si="1"/>
        <v>85.452173913043481</v>
      </c>
    </row>
    <row r="8" spans="1:5" x14ac:dyDescent="0.4">
      <c r="A8" s="6" t="s">
        <v>6</v>
      </c>
      <c r="D8" s="4">
        <f>AVERAGE(D2:D7)</f>
        <v>94.241432169552056</v>
      </c>
      <c r="E8" s="12">
        <f>AVERAGE(E2:E7)</f>
        <v>59.749067995495999</v>
      </c>
    </row>
    <row r="9" spans="1:5" ht="14.25" x14ac:dyDescent="0.4">
      <c r="A9" s="1" t="s">
        <v>0</v>
      </c>
    </row>
    <row r="17" spans="1:1" x14ac:dyDescent="0.4">
      <c r="A1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9342-47EB-4713-98DD-AE1472758FDF}">
  <dimension ref="A1:B6"/>
  <sheetViews>
    <sheetView tabSelected="1" zoomScale="190" zoomScaleNormal="190" workbookViewId="0">
      <selection activeCell="B10" sqref="B10"/>
    </sheetView>
  </sheetViews>
  <sheetFormatPr defaultRowHeight="13.9" x14ac:dyDescent="0.4"/>
  <cols>
    <col min="2" max="2" width="21.265625" customWidth="1"/>
  </cols>
  <sheetData>
    <row r="1" spans="1:2" x14ac:dyDescent="0.4">
      <c r="A1" s="15" t="s">
        <v>7</v>
      </c>
      <c r="B1" s="2" t="s">
        <v>8</v>
      </c>
    </row>
    <row r="2" spans="1:2" x14ac:dyDescent="0.4">
      <c r="A2" s="3">
        <v>1</v>
      </c>
      <c r="B2" s="3">
        <v>12.41</v>
      </c>
    </row>
    <row r="3" spans="1:2" x14ac:dyDescent="0.4">
      <c r="A3" s="3">
        <v>2</v>
      </c>
      <c r="B3" s="3">
        <v>11.45</v>
      </c>
    </row>
    <row r="4" spans="1:2" x14ac:dyDescent="0.4">
      <c r="A4" s="3">
        <v>3</v>
      </c>
      <c r="B4" s="3">
        <v>11.78</v>
      </c>
    </row>
    <row r="5" spans="1:2" x14ac:dyDescent="0.4">
      <c r="A5" s="3">
        <v>4</v>
      </c>
      <c r="B5" s="3">
        <v>11.19</v>
      </c>
    </row>
    <row r="6" spans="1:2" x14ac:dyDescent="0.4">
      <c r="A6" s="15" t="s">
        <v>6</v>
      </c>
      <c r="B6" s="3">
        <v>11.7075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Calcification-associated carbon</vt:lpstr>
      <vt:lpstr>Shell carbon content(%)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ttkx syz</dc:creator>
  <cp:lastModifiedBy>ttkx syz</cp:lastModifiedBy>
  <dcterms:created xsi:type="dcterms:W3CDTF">2015-06-05T18:19:34Z</dcterms:created>
  <dcterms:modified xsi:type="dcterms:W3CDTF">2026-05-17T12:56:44Z</dcterms:modified>
</cp:coreProperties>
</file>